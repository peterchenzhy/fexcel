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88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Sheet1!$A$1:$BK$2</definedName>
  </definedNames>
  <calcPr calcId="144525"/>
</workbook>
</file>

<file path=xl/comments1.xml><?xml version="1.0" encoding="utf-8"?>
<comments xmlns="http://schemas.openxmlformats.org/spreadsheetml/2006/main">
  <authors>
    <author>JULIEN LEDIN</author>
    <author>tc={CA722CD1-F306-46F4-8A7B-2C7DACE92064}</author>
  </authors>
  <commentList>
    <comment ref="AG1" authorId="0">
      <text>
        <r>
          <rPr>
            <b/>
            <sz val="9"/>
            <rFont val="Tahoma"/>
            <charset val="134"/>
          </rPr>
          <t>JULIEN LEDIN:</t>
        </r>
        <r>
          <rPr>
            <sz val="9"/>
            <rFont val="Tahoma"/>
            <charset val="134"/>
          </rPr>
          <t xml:space="preserve">
To complete.
YES or NO for each row
</t>
        </r>
      </text>
    </comment>
    <comment ref="AO1" authorId="1">
      <text>
        <r>
          <rPr>
            <sz val="11"/>
            <color rgb="FF000000"/>
            <rFont val="等线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means No blank ? Sample is not requested ?</t>
        </r>
      </text>
    </comment>
  </commentList>
</comments>
</file>

<file path=xl/sharedStrings.xml><?xml version="1.0" encoding="utf-8"?>
<sst xmlns="http://schemas.openxmlformats.org/spreadsheetml/2006/main" count="520" uniqueCount="102">
  <si>
    <t xml:space="preserve">Row  </t>
  </si>
  <si>
    <t>OC</t>
  </si>
  <si>
    <t>ADEO Ordrer Number</t>
  </si>
  <si>
    <t>*_Order Status</t>
  </si>
  <si>
    <t>Q-ty pc.</t>
  </si>
  <si>
    <t>ETD Contractual</t>
  </si>
  <si>
    <t>ETA Contractual</t>
  </si>
  <si>
    <t>ETD Updated</t>
  </si>
  <si>
    <t>ETD Confirmed</t>
  </si>
  <si>
    <t>ETA Updated</t>
  </si>
  <si>
    <t>ETA Confirmed</t>
  </si>
  <si>
    <t>Container n°1st leg</t>
  </si>
  <si>
    <t>Port of discharge</t>
  </si>
  <si>
    <t>Warehouse of destination</t>
  </si>
  <si>
    <t>BU selling invoice number</t>
  </si>
  <si>
    <t xml:space="preserve">Status blocked </t>
  </si>
  <si>
    <t>Instruction date of blocking</t>
  </si>
  <si>
    <t>Estimated shipping date</t>
  </si>
  <si>
    <t xml:space="preserve">CUS IN </t>
  </si>
  <si>
    <t>*_CUS OUT</t>
  </si>
  <si>
    <t>Customs terminal / Таможенный пост</t>
  </si>
  <si>
    <t>Warehouse of destination / Склад доставки</t>
  </si>
  <si>
    <t>ETA WH/ Приход на склад ПЛАН</t>
  </si>
  <si>
    <t>ATA WH/ Приход на склад ФАКТ</t>
  </si>
  <si>
    <t>Department</t>
  </si>
  <si>
    <t>Item</t>
  </si>
  <si>
    <t>ADEO Code</t>
  </si>
  <si>
    <t>Supplier article number</t>
  </si>
  <si>
    <t>Description</t>
  </si>
  <si>
    <t>Item Description</t>
  </si>
  <si>
    <t>Supplier Name</t>
  </si>
  <si>
    <t>*_Under Certification</t>
  </si>
  <si>
    <t>Sample Required</t>
  </si>
  <si>
    <t>Under certification Code</t>
  </si>
  <si>
    <t>Type of Document</t>
  </si>
  <si>
    <t>*_Certified at Manufacturing level code</t>
  </si>
  <si>
    <t>Number of certificate issued on production</t>
  </si>
  <si>
    <t>Date of expiry of certificate</t>
  </si>
  <si>
    <t>Blocked in RU</t>
  </si>
  <si>
    <t>Type of Blocking</t>
  </si>
  <si>
    <t>no blank</t>
  </si>
  <si>
    <t>lab stopped</t>
  </si>
  <si>
    <t xml:space="preserve">IM|Label </t>
  </si>
  <si>
    <t xml:space="preserve">no samples </t>
  </si>
  <si>
    <t>samples late</t>
  </si>
  <si>
    <t>Product Not compliant</t>
  </si>
  <si>
    <t>Action to manage non compliance</t>
  </si>
  <si>
    <t>Qty concerned</t>
  </si>
  <si>
    <t>Cost evaluation</t>
  </si>
  <si>
    <t>Action to perform</t>
  </si>
  <si>
    <t>Sample Sent</t>
  </si>
  <si>
    <t xml:space="preserve">AWB No. for TNT or DHL samples </t>
  </si>
  <si>
    <t>Date Sample sending</t>
  </si>
  <si>
    <t xml:space="preserve"> Deadline for sample sending </t>
  </si>
  <si>
    <t xml:space="preserve">Date of collection from the sender </t>
  </si>
  <si>
    <t>Sample Arrival Certification outsorsing company Report.1</t>
  </si>
  <si>
    <t>Planned Certificate data issue</t>
  </si>
  <si>
    <t>ETA platform (OC + 4/14/29/35 days)</t>
  </si>
  <si>
    <t>KPI+7</t>
  </si>
  <si>
    <t>ETA Platform after certificate issue</t>
  </si>
  <si>
    <t>SYNC282975</t>
  </si>
  <si>
    <t>S2009273863</t>
  </si>
  <si>
    <t>3 - SHIPPED</t>
  </si>
  <si>
    <t>2019/01/25</t>
  </si>
  <si>
    <t>2019/03/12</t>
  </si>
  <si>
    <t>2019/01/22</t>
  </si>
  <si>
    <t>2019/03/06</t>
  </si>
  <si>
    <t/>
  </si>
  <si>
    <t>INBU5312551</t>
  </si>
  <si>
    <t>RIGA</t>
  </si>
  <si>
    <t>ENTR LM RUSSIE DMITROV OUEST</t>
  </si>
  <si>
    <t>V2019004350</t>
  </si>
  <si>
    <t>Дмитров</t>
  </si>
  <si>
    <t>1000 DW-3</t>
  </si>
  <si>
    <t>PUMP, DIRTY WATER, 1000W, INOX, 18000 L/H, 8M MAX HEIGHT, STERWINS</t>
  </si>
  <si>
    <t>НАСОС Д/ГРЯЗН. ВОДЫ STERWINS INOX DW-3 1</t>
  </si>
  <si>
    <t>JUNHE PUMPS HOLDING CO.,LTD</t>
  </si>
  <si>
    <t>YES</t>
  </si>
  <si>
    <t>сертификат</t>
  </si>
  <si>
    <t>EXTENDED LEADTIME</t>
  </si>
  <si>
    <t>ACTION_CLOSED</t>
  </si>
  <si>
    <t xml:space="preserve">704295579  </t>
  </si>
  <si>
    <t>24.01.2019</t>
  </si>
  <si>
    <t>22.02.2019 09:36:36 - образец доставлен</t>
  </si>
  <si>
    <t>704295579 </t>
  </si>
  <si>
    <t>Row </t>
  </si>
  <si>
    <t>Status blocked</t>
  </si>
  <si>
    <t>CUS IN</t>
  </si>
  <si>
    <t>IM|Label</t>
  </si>
  <si>
    <t>no samples</t>
  </si>
  <si>
    <t>AWB No. for TNT or DHL samples</t>
  </si>
  <si>
    <t>Deadline for sample sending</t>
  </si>
  <si>
    <t>Date of collection from the sender</t>
  </si>
  <si>
    <t>1</t>
  </si>
  <si>
    <t>2154</t>
  </si>
  <si>
    <t>2019/03/18 00:00:00</t>
  </si>
  <si>
    <t>9</t>
  </si>
  <si>
    <t>15088130</t>
  </si>
  <si>
    <t>946747</t>
  </si>
  <si>
    <t>2019/01/04 00:00:00</t>
  </si>
  <si>
    <t>2019/03/26 00:00:00</t>
  </si>
  <si>
    <t>2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</si>
</sst>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[$-F800]dddd\,\ mmmm\ dd\,\ yyyy"/>
  </numFmts>
  <fonts count="3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name val="等线"/>
      <charset val="204"/>
      <scheme val="minor"/>
    </font>
    <font>
      <b/>
      <sz val="11"/>
      <color theme="0"/>
      <name val="等线"/>
      <charset val="204"/>
      <scheme val="minor"/>
    </font>
    <font>
      <b/>
      <sz val="11"/>
      <name val="Calibri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20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0000"/>
      <name val="等线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6" tint="0.399975585192419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4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29" fillId="15" borderId="8" applyNumberFormat="0" applyAlignment="0" applyProtection="0">
      <alignment vertical="center"/>
    </xf>
    <xf numFmtId="0" fontId="26" fillId="28" borderId="9" applyNumberFormat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 wrapText="1"/>
    </xf>
    <xf numFmtId="22" fontId="7" fillId="0" borderId="0" xfId="0" applyNumberFormat="1" applyFont="1"/>
    <xf numFmtId="22" fontId="0" fillId="0" borderId="0" xfId="0" applyNumberFormat="1"/>
    <xf numFmtId="0" fontId="5" fillId="5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8" fillId="0" borderId="0" xfId="0" applyFont="1"/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76" fontId="2" fillId="3" borderId="0" xfId="0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14" fontId="9" fillId="9" borderId="0" xfId="0" applyNumberFormat="1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4" fontId="5" fillId="4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4" fontId="4" fillId="0" borderId="0" xfId="0" applyNumberFormat="1" applyFont="1"/>
    <xf numFmtId="22" fontId="4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ISIS_DATAFil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5"/>
  <sheetViews>
    <sheetView tabSelected="1" workbookViewId="0">
      <selection activeCell="D22" sqref="D22"/>
    </sheetView>
  </sheetViews>
  <sheetFormatPr defaultColWidth="13.5" defaultRowHeight="13.8"/>
  <cols>
    <col min="1" max="1" width="10.5" customWidth="1"/>
    <col min="2" max="3" width="17.5" customWidth="1"/>
    <col min="4" max="4" width="20.5" customWidth="1"/>
    <col min="5" max="5" width="13.5" customWidth="1" outlineLevel="1"/>
    <col min="6" max="7" width="16.5" style="3" customWidth="1" outlineLevel="1"/>
    <col min="8" max="8" width="17.8796296296296" style="3" customWidth="1" outlineLevel="1"/>
    <col min="9" max="9" width="17.8796296296296" style="4" customWidth="1" outlineLevel="1"/>
    <col min="10" max="10" width="17.8796296296296" style="3" customWidth="1" outlineLevel="1"/>
    <col min="11" max="11" width="17.8796296296296" customWidth="1" outlineLevel="1"/>
    <col min="12" max="12" width="19.5" style="5" customWidth="1" outlineLevel="1"/>
    <col min="13" max="13" width="23.5" customWidth="1" outlineLevel="1"/>
    <col min="14" max="14" width="34" style="5" customWidth="1" outlineLevel="1"/>
    <col min="15" max="15" width="15" customWidth="1" outlineLevel="1"/>
    <col min="16" max="16" width="17.5" customWidth="1" outlineLevel="1"/>
    <col min="17" max="17" width="16" customWidth="1" outlineLevel="1"/>
    <col min="18" max="18" width="21.5" customWidth="1" outlineLevel="1"/>
    <col min="19" max="19" width="12.5" customWidth="1" outlineLevel="1"/>
    <col min="20" max="20" width="14.5" customWidth="1" outlineLevel="1"/>
    <col min="21" max="21" width="21.5" customWidth="1" outlineLevel="1"/>
    <col min="22" max="22" width="20.5" customWidth="1" outlineLevel="1"/>
    <col min="23" max="23" width="17.5" customWidth="1" outlineLevel="1"/>
    <col min="24" max="24" width="17.1296296296296" customWidth="1" outlineLevel="1"/>
    <col min="25" max="25" width="9.12962962962963" customWidth="1"/>
    <col min="26" max="26" width="14.1111111111111" customWidth="1"/>
    <col min="27" max="27" width="16.5" customWidth="1"/>
    <col min="28" max="28" width="28.5" customWidth="1" outlineLevel="1"/>
    <col min="29" max="29" width="78.5" customWidth="1" outlineLevel="1"/>
    <col min="30" max="30" width="49" customWidth="1" outlineLevel="1"/>
    <col min="31" max="31" width="40.5" customWidth="1"/>
    <col min="32" max="32" width="17.1296296296296" style="6" customWidth="1"/>
    <col min="33" max="33" width="16.7777777777778" style="6" customWidth="1"/>
    <col min="34" max="34" width="16.8796296296296" style="7" customWidth="1" outlineLevel="1"/>
    <col min="35" max="35" width="20.3333333333333" style="7" customWidth="1" outlineLevel="1"/>
    <col min="36" max="36" width="18.5" style="8" customWidth="1" outlineLevel="1"/>
    <col min="37" max="37" width="32.8796296296296" style="7" customWidth="1" outlineLevel="1"/>
    <col min="38" max="38" width="26.2222222222222" style="7" customWidth="1" outlineLevel="1"/>
    <col min="39" max="39" width="42.3333333333333" style="9" customWidth="1" outlineLevel="1" collapsed="1"/>
    <col min="40" max="40" width="27.5" style="9" customWidth="1" outlineLevel="1"/>
    <col min="41" max="41" width="11.5" customWidth="1" outlineLevel="1"/>
    <col min="42" max="42" width="26" customWidth="1" outlineLevel="1"/>
    <col min="43" max="43" width="26.5" customWidth="1" outlineLevel="1"/>
    <col min="44" max="45" width="15.5" customWidth="1" outlineLevel="1"/>
    <col min="46" max="46" width="18.8796296296296" customWidth="1"/>
    <col min="47" max="49" width="23.8796296296296" customWidth="1" outlineLevel="1"/>
    <col min="50" max="50" width="38.5" style="10" customWidth="1"/>
    <col min="51" max="51" width="15" style="11" customWidth="1"/>
    <col min="52" max="52" width="32.5" style="12" customWidth="1"/>
    <col min="53" max="53" width="24.5" style="5" customWidth="1"/>
    <col min="54" max="54" width="27.7777777777778" style="5" customWidth="1"/>
    <col min="55" max="55" width="19.5" style="5" customWidth="1"/>
    <col min="56" max="56" width="37.1296296296296" style="5" customWidth="1"/>
    <col min="57" max="57" width="15.5" customWidth="1"/>
    <col min="58" max="58" width="21.5" style="13" customWidth="1" outlineLevel="1"/>
    <col min="59" max="59" width="11.5" style="13" customWidth="1" outlineLevel="1"/>
    <col min="60" max="60" width="19.8796296296296" customWidth="1" outlineLevel="1"/>
    <col min="61" max="16384" width="13.5" style="7"/>
  </cols>
  <sheetData>
    <row r="1" s="1" customFormat="1" ht="41.4" spans="1:63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7" t="s">
        <v>8</v>
      </c>
      <c r="J1" s="15" t="s">
        <v>9</v>
      </c>
      <c r="K1" s="15" t="s">
        <v>10</v>
      </c>
      <c r="L1" s="17" t="s">
        <v>11</v>
      </c>
      <c r="M1" s="15" t="s">
        <v>12</v>
      </c>
      <c r="N1" s="17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20" t="s">
        <v>24</v>
      </c>
      <c r="Z1" s="20" t="s">
        <v>25</v>
      </c>
      <c r="AA1" s="20" t="s">
        <v>26</v>
      </c>
      <c r="AB1" s="21" t="s">
        <v>27</v>
      </c>
      <c r="AC1" s="21" t="s">
        <v>28</v>
      </c>
      <c r="AD1" s="21" t="s">
        <v>29</v>
      </c>
      <c r="AE1" s="20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6" t="s">
        <v>49</v>
      </c>
      <c r="AY1" s="27" t="s">
        <v>50</v>
      </c>
      <c r="AZ1" s="28" t="s">
        <v>51</v>
      </c>
      <c r="BA1" s="29" t="s">
        <v>52</v>
      </c>
      <c r="BB1" s="30" t="s">
        <v>53</v>
      </c>
      <c r="BC1" s="30" t="s">
        <v>54</v>
      </c>
      <c r="BD1" s="30" t="s">
        <v>55</v>
      </c>
      <c r="BE1" s="31" t="s">
        <v>56</v>
      </c>
      <c r="BF1" s="32" t="s">
        <v>57</v>
      </c>
      <c r="BG1" s="32" t="s">
        <v>58</v>
      </c>
      <c r="BH1" s="33" t="s">
        <v>59</v>
      </c>
      <c r="BJ1" s="1" t="s">
        <v>38</v>
      </c>
      <c r="BK1" s="1" t="s">
        <v>39</v>
      </c>
    </row>
    <row r="2" customFormat="1" ht="14" customHeight="1" spans="1:63">
      <c r="A2">
        <v>1</v>
      </c>
      <c r="B2" t="s">
        <v>60</v>
      </c>
      <c r="C2" t="s">
        <v>61</v>
      </c>
      <c r="D2" t="s">
        <v>62</v>
      </c>
      <c r="E2">
        <v>2154</v>
      </c>
      <c r="F2" s="5" t="s">
        <v>63</v>
      </c>
      <c r="G2" t="s">
        <v>64</v>
      </c>
      <c r="H2" t="s">
        <v>65</v>
      </c>
      <c r="I2" s="5" t="s">
        <v>65</v>
      </c>
      <c r="J2" t="s">
        <v>66</v>
      </c>
      <c r="K2" t="s">
        <v>67</v>
      </c>
      <c r="L2" s="5" t="s">
        <v>68</v>
      </c>
      <c r="M2" s="5" t="s">
        <v>69</v>
      </c>
      <c r="N2" s="5" t="s">
        <v>70</v>
      </c>
      <c r="O2" t="s">
        <v>71</v>
      </c>
      <c r="Q2" s="5"/>
      <c r="S2" s="5"/>
      <c r="T2" s="5"/>
      <c r="V2" t="s">
        <v>72</v>
      </c>
      <c r="W2" s="18">
        <v>43542</v>
      </c>
      <c r="X2" s="19"/>
      <c r="Y2">
        <v>9</v>
      </c>
      <c r="Z2">
        <v>15088130</v>
      </c>
      <c r="AA2">
        <v>946747</v>
      </c>
      <c r="AB2" t="s">
        <v>73</v>
      </c>
      <c r="AC2" t="s">
        <v>74</v>
      </c>
      <c r="AD2" t="s">
        <v>75</v>
      </c>
      <c r="AE2" s="23" t="s">
        <v>76</v>
      </c>
      <c r="AF2" s="6" t="s">
        <v>77</v>
      </c>
      <c r="AG2" s="6" t="str">
        <f>AF2</f>
        <v>YES</v>
      </c>
      <c r="AH2">
        <f>IF(AF2="YES",1,0)</f>
        <v>1</v>
      </c>
      <c r="AI2" t="s">
        <v>78</v>
      </c>
      <c r="AJ2" s="3" t="str">
        <f>IF(AK2&lt;&gt;"","YES","NO")</f>
        <v>NO</v>
      </c>
      <c r="AM2" s="9" t="str">
        <f>IF(AND(D2="4-ARRIVED AT PORT",T2&lt;&gt;"",AJ2="NO"),"YES","NO")</f>
        <v>NO</v>
      </c>
      <c r="AN2" s="9" t="s">
        <v>79</v>
      </c>
      <c r="AS2" t="s">
        <v>44</v>
      </c>
      <c r="AX2" s="10" t="s">
        <v>80</v>
      </c>
      <c r="AY2" s="9" t="s">
        <v>77</v>
      </c>
      <c r="AZ2" t="s">
        <v>81</v>
      </c>
      <c r="BB2" s="5">
        <v>43469</v>
      </c>
      <c r="BC2" s="5" t="s">
        <v>82</v>
      </c>
      <c r="BD2" s="5" t="s">
        <v>83</v>
      </c>
      <c r="BE2" s="5"/>
      <c r="BF2" s="34">
        <v>43550</v>
      </c>
      <c r="BG2" s="34"/>
      <c r="BH2" s="5"/>
      <c r="BK2">
        <v>1</v>
      </c>
    </row>
    <row r="3" customFormat="1" ht="14" customHeight="1" spans="1:60">
      <c r="A3">
        <v>2</v>
      </c>
      <c r="B3" t="s">
        <v>60</v>
      </c>
      <c r="C3" t="s">
        <v>61</v>
      </c>
      <c r="D3" t="s">
        <v>62</v>
      </c>
      <c r="E3">
        <v>2154</v>
      </c>
      <c r="F3" s="5" t="s">
        <v>63</v>
      </c>
      <c r="G3" t="s">
        <v>64</v>
      </c>
      <c r="H3" t="s">
        <v>65</v>
      </c>
      <c r="I3" s="5" t="s">
        <v>65</v>
      </c>
      <c r="J3" t="s">
        <v>66</v>
      </c>
      <c r="K3" t="s">
        <v>67</v>
      </c>
      <c r="L3" s="5" t="s">
        <v>68</v>
      </c>
      <c r="M3" s="5" t="s">
        <v>69</v>
      </c>
      <c r="N3" s="5" t="s">
        <v>70</v>
      </c>
      <c r="O3" t="s">
        <v>71</v>
      </c>
      <c r="Q3" s="5"/>
      <c r="S3" s="5"/>
      <c r="T3" s="5"/>
      <c r="V3" t="s">
        <v>72</v>
      </c>
      <c r="W3" s="18">
        <v>43542</v>
      </c>
      <c r="X3" s="19"/>
      <c r="Y3">
        <v>9</v>
      </c>
      <c r="Z3">
        <v>15088130</v>
      </c>
      <c r="AA3">
        <v>946747</v>
      </c>
      <c r="AB3" t="s">
        <v>73</v>
      </c>
      <c r="AC3" t="s">
        <v>74</v>
      </c>
      <c r="AD3" t="s">
        <v>75</v>
      </c>
      <c r="AE3" s="23" t="s">
        <v>76</v>
      </c>
      <c r="AF3" s="6" t="s">
        <v>77</v>
      </c>
      <c r="AG3" s="6" t="str">
        <f>AF3</f>
        <v>YES</v>
      </c>
      <c r="AH3">
        <f>IF(AF3="YES",1,0)</f>
        <v>1</v>
      </c>
      <c r="AI3" t="s">
        <v>78</v>
      </c>
      <c r="AJ3" s="3" t="str">
        <f>IF(AK3&lt;&gt;"","YES","NO")</f>
        <v>NO</v>
      </c>
      <c r="AM3" s="9" t="str">
        <f>IF(AND(D3="4-ARRIVED AT PORT",T3&lt;&gt;"",AJ3="NO"),"YES","NO")</f>
        <v>NO</v>
      </c>
      <c r="AN3" s="9" t="s">
        <v>79</v>
      </c>
      <c r="AS3" t="s">
        <v>44</v>
      </c>
      <c r="AX3" s="10" t="s">
        <v>80</v>
      </c>
      <c r="AY3" s="9" t="s">
        <v>77</v>
      </c>
      <c r="AZ3" t="s">
        <v>81</v>
      </c>
      <c r="BB3" s="5">
        <v>43469</v>
      </c>
      <c r="BC3" s="5" t="s">
        <v>82</v>
      </c>
      <c r="BD3" s="5" t="s">
        <v>83</v>
      </c>
      <c r="BE3" s="5"/>
      <c r="BF3" s="34">
        <v>43550</v>
      </c>
      <c r="BG3" s="34"/>
      <c r="BH3" s="5"/>
    </row>
    <row r="6" spans="1:63">
      <c r="A6">
        <v>1</v>
      </c>
      <c r="B6" t="s">
        <v>60</v>
      </c>
      <c r="C6" t="s">
        <v>61</v>
      </c>
      <c r="D6" t="s">
        <v>62</v>
      </c>
      <c r="E6" s="3">
        <v>2154</v>
      </c>
      <c r="F6" s="4">
        <v>43490</v>
      </c>
      <c r="G6" s="4">
        <v>43536</v>
      </c>
      <c r="H6" s="4">
        <v>43487</v>
      </c>
      <c r="I6" s="4">
        <v>43487</v>
      </c>
      <c r="J6" s="5">
        <v>43530</v>
      </c>
      <c r="K6" s="5"/>
      <c r="L6" t="s">
        <v>68</v>
      </c>
      <c r="M6" s="5" t="s">
        <v>69</v>
      </c>
      <c r="N6" t="s">
        <v>70</v>
      </c>
      <c r="O6" t="s">
        <v>71</v>
      </c>
      <c r="V6" t="s">
        <v>72</v>
      </c>
      <c r="W6" s="19">
        <v>43542</v>
      </c>
      <c r="Y6">
        <v>9</v>
      </c>
      <c r="Z6">
        <v>15088130</v>
      </c>
      <c r="AA6">
        <v>946747</v>
      </c>
      <c r="AB6" t="s">
        <v>73</v>
      </c>
      <c r="AC6" t="s">
        <v>74</v>
      </c>
      <c r="AD6" t="s">
        <v>75</v>
      </c>
      <c r="AE6" s="6" t="s">
        <v>76</v>
      </c>
      <c r="AF6" s="6" t="s">
        <v>77</v>
      </c>
      <c r="AG6" s="7" t="str">
        <f>AF2</f>
        <v>YES</v>
      </c>
      <c r="AH6" s="7">
        <f>IF(AF2="YES",1,0)</f>
        <v>1</v>
      </c>
      <c r="AI6" s="8" t="s">
        <v>78</v>
      </c>
      <c r="AJ6" s="7" t="str">
        <f>IF(AK2&lt;&gt;"","YES","NO")</f>
        <v>NO</v>
      </c>
      <c r="AL6" s="9"/>
      <c r="AM6" s="9" t="str">
        <f>IF(AND(D2="4-ARRIVED AT PORT",T2&lt;&gt;"",AJ2="NO"),"YES","NO")</f>
        <v>NO</v>
      </c>
      <c r="AN6" t="s">
        <v>79</v>
      </c>
      <c r="AS6" t="s">
        <v>44</v>
      </c>
      <c r="AW6" s="10"/>
      <c r="AX6" s="11" t="s">
        <v>80</v>
      </c>
      <c r="AY6" s="12" t="s">
        <v>77</v>
      </c>
      <c r="AZ6" s="5" t="s">
        <v>84</v>
      </c>
      <c r="BB6" s="5">
        <v>43469</v>
      </c>
      <c r="BC6" s="5" t="s">
        <v>82</v>
      </c>
      <c r="BD6" t="s">
        <v>83</v>
      </c>
      <c r="BE6" s="13"/>
      <c r="BF6" s="35">
        <v>43550</v>
      </c>
      <c r="BG6"/>
      <c r="BH6" s="7"/>
      <c r="BK6" s="7">
        <v>1</v>
      </c>
    </row>
    <row r="7" spans="1:60">
      <c r="A7">
        <v>2</v>
      </c>
      <c r="B7" t="s">
        <v>60</v>
      </c>
      <c r="C7" t="s">
        <v>61</v>
      </c>
      <c r="D7" t="s">
        <v>62</v>
      </c>
      <c r="E7" s="3">
        <v>2154</v>
      </c>
      <c r="F7" s="4">
        <v>43490</v>
      </c>
      <c r="G7" s="4">
        <v>43536</v>
      </c>
      <c r="H7" s="4">
        <v>43487</v>
      </c>
      <c r="I7" s="4">
        <v>43487</v>
      </c>
      <c r="J7" s="5">
        <v>43530</v>
      </c>
      <c r="K7" s="5"/>
      <c r="L7" t="s">
        <v>68</v>
      </c>
      <c r="M7" s="5" t="s">
        <v>69</v>
      </c>
      <c r="N7" t="s">
        <v>70</v>
      </c>
      <c r="O7" t="s">
        <v>71</v>
      </c>
      <c r="V7" t="s">
        <v>72</v>
      </c>
      <c r="W7" s="19">
        <v>43542</v>
      </c>
      <c r="Y7">
        <v>9</v>
      </c>
      <c r="Z7">
        <v>15088130</v>
      </c>
      <c r="AA7">
        <v>946747</v>
      </c>
      <c r="AB7" t="s">
        <v>73</v>
      </c>
      <c r="AC7" t="s">
        <v>74</v>
      </c>
      <c r="AD7" t="s">
        <v>75</v>
      </c>
      <c r="AE7" s="6" t="s">
        <v>76</v>
      </c>
      <c r="AF7" s="6" t="s">
        <v>77</v>
      </c>
      <c r="AG7" s="7" t="str">
        <f>AF3</f>
        <v>YES</v>
      </c>
      <c r="AH7" s="7">
        <f>IF(AF3="YES",1,0)</f>
        <v>1</v>
      </c>
      <c r="AI7" s="8" t="s">
        <v>78</v>
      </c>
      <c r="AJ7" s="7" t="str">
        <f>IF(AK3&lt;&gt;"","YES","NO")</f>
        <v>NO</v>
      </c>
      <c r="AL7" s="9"/>
      <c r="AM7" s="9" t="str">
        <f>IF(AND(D3="4-ARRIVED AT PORT",T3&lt;&gt;"",AJ3="NO"),"YES","NO")</f>
        <v>NO</v>
      </c>
      <c r="AN7" t="s">
        <v>79</v>
      </c>
      <c r="AS7" t="s">
        <v>44</v>
      </c>
      <c r="AW7" s="10"/>
      <c r="AX7" s="11" t="s">
        <v>80</v>
      </c>
      <c r="AY7" s="12" t="s">
        <v>77</v>
      </c>
      <c r="AZ7" s="5" t="s">
        <v>84</v>
      </c>
      <c r="BB7" s="5">
        <v>43469</v>
      </c>
      <c r="BC7" s="5" t="s">
        <v>82</v>
      </c>
      <c r="BD7" t="s">
        <v>83</v>
      </c>
      <c r="BE7" s="13"/>
      <c r="BF7" s="35">
        <v>43550</v>
      </c>
      <c r="BG7"/>
      <c r="BH7" s="7"/>
    </row>
    <row r="9" s="2" customFormat="1" ht="14.4" spans="1:63">
      <c r="A9" s="16" t="s">
        <v>85</v>
      </c>
      <c r="B9" s="16" t="s">
        <v>1</v>
      </c>
      <c r="C9" s="16" t="s">
        <v>2</v>
      </c>
      <c r="D9" s="16" t="s">
        <v>3</v>
      </c>
      <c r="E9" s="16" t="s">
        <v>4</v>
      </c>
      <c r="F9" s="16" t="s">
        <v>5</v>
      </c>
      <c r="G9" s="16" t="s">
        <v>6</v>
      </c>
      <c r="H9" s="16" t="s">
        <v>7</v>
      </c>
      <c r="I9" s="16" t="s">
        <v>8</v>
      </c>
      <c r="J9" s="16" t="s">
        <v>9</v>
      </c>
      <c r="K9" s="16" t="s">
        <v>10</v>
      </c>
      <c r="L9" s="16" t="s">
        <v>11</v>
      </c>
      <c r="M9" s="16" t="s">
        <v>12</v>
      </c>
      <c r="N9" s="16" t="s">
        <v>13</v>
      </c>
      <c r="O9" s="16" t="s">
        <v>14</v>
      </c>
      <c r="P9" s="16" t="s">
        <v>86</v>
      </c>
      <c r="Q9" s="16" t="s">
        <v>16</v>
      </c>
      <c r="R9" s="16" t="s">
        <v>17</v>
      </c>
      <c r="S9" s="16" t="s">
        <v>87</v>
      </c>
      <c r="T9" s="16" t="s">
        <v>19</v>
      </c>
      <c r="U9" s="16" t="s">
        <v>20</v>
      </c>
      <c r="V9" s="16" t="s">
        <v>21</v>
      </c>
      <c r="W9" s="16" t="s">
        <v>22</v>
      </c>
      <c r="X9" s="16" t="s">
        <v>23</v>
      </c>
      <c r="Y9" s="16" t="s">
        <v>24</v>
      </c>
      <c r="Z9" s="16" t="s">
        <v>25</v>
      </c>
      <c r="AA9" s="16" t="s">
        <v>26</v>
      </c>
      <c r="AB9" s="16" t="s">
        <v>27</v>
      </c>
      <c r="AC9" s="16" t="s">
        <v>28</v>
      </c>
      <c r="AD9" s="16" t="s">
        <v>29</v>
      </c>
      <c r="AE9" s="16" t="s">
        <v>30</v>
      </c>
      <c r="AF9" s="16" t="s">
        <v>31</v>
      </c>
      <c r="AG9" s="16" t="s">
        <v>32</v>
      </c>
      <c r="AH9" s="16" t="s">
        <v>33</v>
      </c>
      <c r="AI9" s="16" t="s">
        <v>34</v>
      </c>
      <c r="AJ9" s="16" t="s">
        <v>35</v>
      </c>
      <c r="AK9" s="16" t="s">
        <v>36</v>
      </c>
      <c r="AL9" s="16" t="s">
        <v>37</v>
      </c>
      <c r="AM9" s="16" t="s">
        <v>38</v>
      </c>
      <c r="AN9" s="16" t="s">
        <v>39</v>
      </c>
      <c r="AO9" s="16" t="s">
        <v>40</v>
      </c>
      <c r="AP9" s="16" t="s">
        <v>41</v>
      </c>
      <c r="AQ9" s="16" t="s">
        <v>88</v>
      </c>
      <c r="AR9" s="16" t="s">
        <v>89</v>
      </c>
      <c r="AS9" s="16" t="s">
        <v>44</v>
      </c>
      <c r="AT9" s="16" t="s">
        <v>45</v>
      </c>
      <c r="AU9" s="16" t="s">
        <v>46</v>
      </c>
      <c r="AV9" s="16" t="s">
        <v>47</v>
      </c>
      <c r="AW9" s="16" t="s">
        <v>48</v>
      </c>
      <c r="AX9" s="16" t="s">
        <v>49</v>
      </c>
      <c r="AY9" s="16" t="s">
        <v>50</v>
      </c>
      <c r="AZ9" s="16" t="s">
        <v>90</v>
      </c>
      <c r="BA9" s="16" t="s">
        <v>52</v>
      </c>
      <c r="BB9" s="16" t="s">
        <v>91</v>
      </c>
      <c r="BC9" s="16" t="s">
        <v>92</v>
      </c>
      <c r="BD9" s="16" t="s">
        <v>55</v>
      </c>
      <c r="BE9" s="16" t="s">
        <v>56</v>
      </c>
      <c r="BF9" s="16" t="s">
        <v>57</v>
      </c>
      <c r="BG9" s="16" t="s">
        <v>58</v>
      </c>
      <c r="BH9" s="16" t="s">
        <v>59</v>
      </c>
      <c r="BI9" s="16" t="s">
        <v>67</v>
      </c>
      <c r="BJ9" s="16" t="s">
        <v>38</v>
      </c>
      <c r="BK9" s="16" t="s">
        <v>39</v>
      </c>
    </row>
    <row r="10" s="2" customFormat="1" spans="1:63">
      <c r="A10" s="2" t="s">
        <v>93</v>
      </c>
      <c r="B10" s="2" t="s">
        <v>60</v>
      </c>
      <c r="C10" s="2" t="s">
        <v>61</v>
      </c>
      <c r="D10" s="2" t="s">
        <v>62</v>
      </c>
      <c r="E10" s="2" t="s">
        <v>94</v>
      </c>
      <c r="F10" s="2" t="s">
        <v>63</v>
      </c>
      <c r="G10" s="2" t="s">
        <v>64</v>
      </c>
      <c r="H10" s="2" t="s">
        <v>65</v>
      </c>
      <c r="I10" s="2" t="s">
        <v>65</v>
      </c>
      <c r="J10" s="2" t="s">
        <v>66</v>
      </c>
      <c r="K10" s="2" t="s">
        <v>67</v>
      </c>
      <c r="L10" s="2" t="s">
        <v>68</v>
      </c>
      <c r="M10" s="2" t="s">
        <v>69</v>
      </c>
      <c r="N10" s="2" t="s">
        <v>70</v>
      </c>
      <c r="O10" s="2" t="s">
        <v>71</v>
      </c>
      <c r="P10" s="2" t="s">
        <v>67</v>
      </c>
      <c r="Q10" s="2" t="s">
        <v>67</v>
      </c>
      <c r="R10" s="2" t="s">
        <v>67</v>
      </c>
      <c r="S10" s="2" t="s">
        <v>67</v>
      </c>
      <c r="T10" s="2" t="s">
        <v>67</v>
      </c>
      <c r="U10" s="2" t="s">
        <v>67</v>
      </c>
      <c r="V10" s="2" t="s">
        <v>72</v>
      </c>
      <c r="W10" s="2" t="s">
        <v>95</v>
      </c>
      <c r="X10" s="2" t="s">
        <v>67</v>
      </c>
      <c r="Y10" s="2" t="s">
        <v>96</v>
      </c>
      <c r="Z10" s="2" t="s">
        <v>97</v>
      </c>
      <c r="AA10" s="2" t="s">
        <v>98</v>
      </c>
      <c r="AB10" s="2" t="s">
        <v>73</v>
      </c>
      <c r="AC10" s="2" t="s">
        <v>74</v>
      </c>
      <c r="AD10" s="2" t="s">
        <v>75</v>
      </c>
      <c r="AE10" s="2" t="s">
        <v>76</v>
      </c>
      <c r="AF10" s="2" t="s">
        <v>77</v>
      </c>
      <c r="AG10" s="2" t="str">
        <f t="shared" ref="AG10:AG15" si="0">AF10</f>
        <v>YES</v>
      </c>
      <c r="AH10" s="2">
        <f t="shared" ref="AH10:AH15" si="1">IF(AF10="YES",1,0)</f>
        <v>1</v>
      </c>
      <c r="AI10" s="2" t="s">
        <v>78</v>
      </c>
      <c r="AJ10" s="2" t="str">
        <f t="shared" ref="AJ10:AJ15" si="2">IF(AK10&lt;&gt;"","YES","NO")</f>
        <v>NO</v>
      </c>
      <c r="AK10" s="2" t="s">
        <v>67</v>
      </c>
      <c r="AL10" s="2" t="s">
        <v>67</v>
      </c>
      <c r="AM10" s="2" t="str">
        <f t="shared" ref="AM10:AM15" si="3">IF(AND(D10="4-ARRIVED AT PORT",T10&lt;&gt;"",AJ10="NO"),"YES","NO")</f>
        <v>NO</v>
      </c>
      <c r="AN10" s="2" t="s">
        <v>79</v>
      </c>
      <c r="AO10" s="2" t="s">
        <v>67</v>
      </c>
      <c r="AP10" s="2" t="s">
        <v>67</v>
      </c>
      <c r="AQ10" s="2" t="s">
        <v>67</v>
      </c>
      <c r="AR10" s="2" t="s">
        <v>67</v>
      </c>
      <c r="AS10" s="2" t="s">
        <v>44</v>
      </c>
      <c r="AT10" s="2" t="s">
        <v>67</v>
      </c>
      <c r="AU10" s="2" t="s">
        <v>67</v>
      </c>
      <c r="AV10" s="2" t="s">
        <v>67</v>
      </c>
      <c r="AW10" s="2" t="s">
        <v>67</v>
      </c>
      <c r="AX10" s="2" t="s">
        <v>80</v>
      </c>
      <c r="AY10" s="2" t="s">
        <v>77</v>
      </c>
      <c r="AZ10" s="2" t="s">
        <v>84</v>
      </c>
      <c r="BA10" s="2" t="s">
        <v>67</v>
      </c>
      <c r="BB10" s="2" t="s">
        <v>99</v>
      </c>
      <c r="BC10" s="2" t="s">
        <v>82</v>
      </c>
      <c r="BD10" s="2" t="s">
        <v>83</v>
      </c>
      <c r="BE10" s="2" t="s">
        <v>67</v>
      </c>
      <c r="BF10" s="2" t="s">
        <v>100</v>
      </c>
      <c r="BG10" s="2" t="s">
        <v>67</v>
      </c>
      <c r="BH10" s="2" t="s">
        <v>67</v>
      </c>
      <c r="BI10" s="2" t="s">
        <v>67</v>
      </c>
      <c r="BJ10" s="2" t="s">
        <v>67</v>
      </c>
      <c r="BK10" s="2" t="s">
        <v>93</v>
      </c>
    </row>
    <row r="11" s="2" customFormat="1" spans="1:63">
      <c r="A11" s="2" t="s">
        <v>101</v>
      </c>
      <c r="B11" s="2" t="s">
        <v>60</v>
      </c>
      <c r="C11" s="2" t="s">
        <v>61</v>
      </c>
      <c r="D11" s="2" t="s">
        <v>62</v>
      </c>
      <c r="E11" s="2" t="s">
        <v>94</v>
      </c>
      <c r="F11" s="2" t="s">
        <v>63</v>
      </c>
      <c r="G11" s="2" t="s">
        <v>64</v>
      </c>
      <c r="H11" s="2" t="s">
        <v>65</v>
      </c>
      <c r="I11" s="2" t="s">
        <v>65</v>
      </c>
      <c r="J11" s="2" t="s">
        <v>66</v>
      </c>
      <c r="K11" s="2" t="s">
        <v>67</v>
      </c>
      <c r="L11" s="2" t="s">
        <v>68</v>
      </c>
      <c r="M11" s="2" t="s">
        <v>69</v>
      </c>
      <c r="N11" s="2" t="s">
        <v>70</v>
      </c>
      <c r="O11" s="2" t="s">
        <v>71</v>
      </c>
      <c r="P11" s="2" t="s">
        <v>67</v>
      </c>
      <c r="Q11" s="2" t="s">
        <v>67</v>
      </c>
      <c r="R11" s="2" t="s">
        <v>67</v>
      </c>
      <c r="S11" s="2" t="s">
        <v>67</v>
      </c>
      <c r="T11" s="2" t="s">
        <v>67</v>
      </c>
      <c r="U11" s="2" t="s">
        <v>67</v>
      </c>
      <c r="V11" s="2" t="s">
        <v>72</v>
      </c>
      <c r="W11" s="2" t="s">
        <v>95</v>
      </c>
      <c r="X11" s="2" t="s">
        <v>67</v>
      </c>
      <c r="Y11" s="2" t="s">
        <v>96</v>
      </c>
      <c r="Z11" s="2" t="s">
        <v>97</v>
      </c>
      <c r="AA11" s="2" t="s">
        <v>98</v>
      </c>
      <c r="AB11" s="2" t="s">
        <v>73</v>
      </c>
      <c r="AC11" s="2" t="s">
        <v>74</v>
      </c>
      <c r="AD11" s="2" t="s">
        <v>75</v>
      </c>
      <c r="AE11" s="2" t="s">
        <v>76</v>
      </c>
      <c r="AF11" s="2" t="s">
        <v>77</v>
      </c>
      <c r="AG11" s="2" t="str">
        <f t="shared" si="0"/>
        <v>YES</v>
      </c>
      <c r="AH11" s="2">
        <f t="shared" si="1"/>
        <v>1</v>
      </c>
      <c r="AI11" s="2" t="s">
        <v>78</v>
      </c>
      <c r="AJ11" s="2" t="str">
        <f t="shared" si="2"/>
        <v>NO</v>
      </c>
      <c r="AK11" s="2" t="s">
        <v>67</v>
      </c>
      <c r="AL11" s="2" t="s">
        <v>67</v>
      </c>
      <c r="AM11" s="2" t="str">
        <f t="shared" si="3"/>
        <v>NO</v>
      </c>
      <c r="AN11" s="2" t="s">
        <v>79</v>
      </c>
      <c r="AO11" s="2" t="s">
        <v>67</v>
      </c>
      <c r="AP11" s="2" t="s">
        <v>67</v>
      </c>
      <c r="AQ11" s="2" t="s">
        <v>67</v>
      </c>
      <c r="AR11" s="2" t="s">
        <v>67</v>
      </c>
      <c r="AS11" s="2" t="s">
        <v>44</v>
      </c>
      <c r="AT11" s="2" t="s">
        <v>67</v>
      </c>
      <c r="AU11" s="2" t="s">
        <v>67</v>
      </c>
      <c r="AV11" s="2" t="s">
        <v>67</v>
      </c>
      <c r="AW11" s="2" t="s">
        <v>67</v>
      </c>
      <c r="AX11" s="2" t="s">
        <v>80</v>
      </c>
      <c r="AY11" s="2" t="s">
        <v>77</v>
      </c>
      <c r="AZ11" s="2" t="s">
        <v>84</v>
      </c>
      <c r="BA11" s="2" t="s">
        <v>67</v>
      </c>
      <c r="BB11" s="2" t="s">
        <v>99</v>
      </c>
      <c r="BC11" s="2" t="s">
        <v>82</v>
      </c>
      <c r="BD11" s="2" t="s">
        <v>83</v>
      </c>
      <c r="BE11" s="2" t="s">
        <v>67</v>
      </c>
      <c r="BF11" s="2" t="s">
        <v>100</v>
      </c>
      <c r="BG11" s="2" t="s">
        <v>67</v>
      </c>
      <c r="BH11" s="2" t="s">
        <v>67</v>
      </c>
      <c r="BI11" s="2" t="s">
        <v>67</v>
      </c>
      <c r="BJ11" s="2" t="s">
        <v>67</v>
      </c>
      <c r="BK11" s="2" t="s">
        <v>67</v>
      </c>
    </row>
    <row r="13" s="2" customFormat="1" ht="14.4" spans="1:63">
      <c r="A13" s="16" t="s">
        <v>85</v>
      </c>
      <c r="B13" s="16" t="s">
        <v>1</v>
      </c>
      <c r="C13" s="16" t="s">
        <v>2</v>
      </c>
      <c r="D13" s="16" t="s">
        <v>3</v>
      </c>
      <c r="E13" s="16" t="s">
        <v>4</v>
      </c>
      <c r="F13" s="16" t="s">
        <v>5</v>
      </c>
      <c r="G13" s="16" t="s">
        <v>6</v>
      </c>
      <c r="H13" s="16" t="s">
        <v>7</v>
      </c>
      <c r="I13" s="16" t="s">
        <v>8</v>
      </c>
      <c r="J13" s="16" t="s">
        <v>9</v>
      </c>
      <c r="K13" s="16" t="s">
        <v>10</v>
      </c>
      <c r="L13" s="16" t="s">
        <v>11</v>
      </c>
      <c r="M13" s="16" t="s">
        <v>12</v>
      </c>
      <c r="N13" s="16" t="s">
        <v>13</v>
      </c>
      <c r="O13" s="16" t="s">
        <v>14</v>
      </c>
      <c r="P13" s="16" t="s">
        <v>86</v>
      </c>
      <c r="Q13" s="16" t="s">
        <v>16</v>
      </c>
      <c r="R13" s="16" t="s">
        <v>17</v>
      </c>
      <c r="S13" s="16" t="s">
        <v>87</v>
      </c>
      <c r="T13" s="16" t="s">
        <v>19</v>
      </c>
      <c r="U13" s="16" t="s">
        <v>20</v>
      </c>
      <c r="V13" s="16" t="s">
        <v>21</v>
      </c>
      <c r="W13" s="16" t="s">
        <v>22</v>
      </c>
      <c r="X13" s="16" t="s">
        <v>23</v>
      </c>
      <c r="Y13" s="16" t="s">
        <v>24</v>
      </c>
      <c r="Z13" s="16" t="s">
        <v>25</v>
      </c>
      <c r="AA13" s="16" t="s">
        <v>26</v>
      </c>
      <c r="AB13" s="16" t="s">
        <v>27</v>
      </c>
      <c r="AC13" s="16" t="s">
        <v>28</v>
      </c>
      <c r="AD13" s="16" t="s">
        <v>29</v>
      </c>
      <c r="AE13" s="16" t="s">
        <v>30</v>
      </c>
      <c r="AF13" s="16" t="s">
        <v>31</v>
      </c>
      <c r="AG13" s="16" t="s">
        <v>32</v>
      </c>
      <c r="AH13" s="16" t="s">
        <v>33</v>
      </c>
      <c r="AI13" s="16" t="s">
        <v>34</v>
      </c>
      <c r="AJ13" s="16" t="s">
        <v>35</v>
      </c>
      <c r="AK13" s="16" t="s">
        <v>36</v>
      </c>
      <c r="AL13" s="16" t="s">
        <v>37</v>
      </c>
      <c r="AM13" s="16" t="s">
        <v>38</v>
      </c>
      <c r="AN13" s="16" t="s">
        <v>39</v>
      </c>
      <c r="AO13" s="16" t="s">
        <v>40</v>
      </c>
      <c r="AP13" s="16" t="s">
        <v>41</v>
      </c>
      <c r="AQ13" s="16" t="s">
        <v>88</v>
      </c>
      <c r="AR13" s="16" t="s">
        <v>89</v>
      </c>
      <c r="AS13" s="16" t="s">
        <v>44</v>
      </c>
      <c r="AT13" s="16" t="s">
        <v>45</v>
      </c>
      <c r="AU13" s="16" t="s">
        <v>46</v>
      </c>
      <c r="AV13" s="16" t="s">
        <v>47</v>
      </c>
      <c r="AW13" s="16" t="s">
        <v>48</v>
      </c>
      <c r="AX13" s="16" t="s">
        <v>49</v>
      </c>
      <c r="AY13" s="16" t="s">
        <v>50</v>
      </c>
      <c r="AZ13" s="16" t="s">
        <v>90</v>
      </c>
      <c r="BA13" s="16" t="s">
        <v>52</v>
      </c>
      <c r="BB13" s="16" t="s">
        <v>91</v>
      </c>
      <c r="BC13" s="16" t="s">
        <v>92</v>
      </c>
      <c r="BD13" s="16" t="s">
        <v>55</v>
      </c>
      <c r="BE13" s="16" t="s">
        <v>56</v>
      </c>
      <c r="BF13" s="16" t="s">
        <v>57</v>
      </c>
      <c r="BG13" s="16" t="s">
        <v>58</v>
      </c>
      <c r="BH13" s="16" t="s">
        <v>59</v>
      </c>
      <c r="BI13" s="16" t="s">
        <v>67</v>
      </c>
      <c r="BJ13" s="16" t="s">
        <v>38</v>
      </c>
      <c r="BK13" s="16" t="s">
        <v>39</v>
      </c>
    </row>
    <row r="14" s="2" customFormat="1" spans="1:63">
      <c r="A14" s="2" t="s">
        <v>93</v>
      </c>
      <c r="B14" s="2" t="s">
        <v>60</v>
      </c>
      <c r="C14" s="2" t="s">
        <v>61</v>
      </c>
      <c r="D14" s="2" t="s">
        <v>62</v>
      </c>
      <c r="E14" s="2" t="s">
        <v>94</v>
      </c>
      <c r="F14" s="2" t="s">
        <v>63</v>
      </c>
      <c r="G14" s="2" t="s">
        <v>64</v>
      </c>
      <c r="H14" s="2" t="s">
        <v>65</v>
      </c>
      <c r="I14" s="2" t="s">
        <v>65</v>
      </c>
      <c r="J14" s="2" t="s">
        <v>66</v>
      </c>
      <c r="K14" s="2" t="s">
        <v>67</v>
      </c>
      <c r="L14" s="2" t="s">
        <v>68</v>
      </c>
      <c r="M14" s="2" t="s">
        <v>69</v>
      </c>
      <c r="N14" s="2" t="s">
        <v>70</v>
      </c>
      <c r="O14" s="2" t="s">
        <v>71</v>
      </c>
      <c r="P14" s="2" t="s">
        <v>67</v>
      </c>
      <c r="Q14" s="2" t="s">
        <v>67</v>
      </c>
      <c r="R14" s="2" t="s">
        <v>67</v>
      </c>
      <c r="S14" s="2" t="s">
        <v>67</v>
      </c>
      <c r="T14" s="2" t="s">
        <v>67</v>
      </c>
      <c r="U14" s="2" t="s">
        <v>67</v>
      </c>
      <c r="V14" s="2" t="s">
        <v>72</v>
      </c>
      <c r="W14" s="2" t="s">
        <v>95</v>
      </c>
      <c r="X14" s="2" t="s">
        <v>67</v>
      </c>
      <c r="Y14" s="2" t="s">
        <v>96</v>
      </c>
      <c r="Z14" s="2" t="s">
        <v>97</v>
      </c>
      <c r="AA14" s="2" t="s">
        <v>98</v>
      </c>
      <c r="AB14" s="2" t="s">
        <v>73</v>
      </c>
      <c r="AC14" s="2" t="s">
        <v>74</v>
      </c>
      <c r="AD14" s="2" t="s">
        <v>75</v>
      </c>
      <c r="AE14" s="2" t="s">
        <v>76</v>
      </c>
      <c r="AF14" s="2" t="s">
        <v>77</v>
      </c>
      <c r="AG14" s="2" t="str">
        <f t="shared" si="0"/>
        <v>YES</v>
      </c>
      <c r="AH14" s="2">
        <f t="shared" si="1"/>
        <v>1</v>
      </c>
      <c r="AI14" s="2" t="s">
        <v>78</v>
      </c>
      <c r="AJ14" s="2" t="str">
        <f t="shared" si="2"/>
        <v>NO</v>
      </c>
      <c r="AK14" s="2" t="s">
        <v>67</v>
      </c>
      <c r="AL14" s="2" t="s">
        <v>67</v>
      </c>
      <c r="AM14" s="2" t="str">
        <f t="shared" si="3"/>
        <v>NO</v>
      </c>
      <c r="AN14" s="2" t="s">
        <v>79</v>
      </c>
      <c r="AO14" s="2" t="s">
        <v>67</v>
      </c>
      <c r="AP14" s="2" t="s">
        <v>67</v>
      </c>
      <c r="AQ14" s="2" t="s">
        <v>67</v>
      </c>
      <c r="AR14" s="2" t="s">
        <v>67</v>
      </c>
      <c r="AS14" s="2" t="s">
        <v>44</v>
      </c>
      <c r="AT14" s="2" t="s">
        <v>67</v>
      </c>
      <c r="AU14" s="2" t="s">
        <v>67</v>
      </c>
      <c r="AV14" s="2" t="s">
        <v>67</v>
      </c>
      <c r="AW14" s="2" t="s">
        <v>67</v>
      </c>
      <c r="AX14" s="2" t="s">
        <v>80</v>
      </c>
      <c r="AY14" s="2" t="s">
        <v>77</v>
      </c>
      <c r="AZ14" s="2" t="s">
        <v>84</v>
      </c>
      <c r="BA14" s="2" t="s">
        <v>67</v>
      </c>
      <c r="BB14" s="2" t="s">
        <v>99</v>
      </c>
      <c r="BC14" s="2" t="s">
        <v>82</v>
      </c>
      <c r="BD14" s="2" t="s">
        <v>83</v>
      </c>
      <c r="BE14" s="2" t="s">
        <v>67</v>
      </c>
      <c r="BF14" s="2" t="s">
        <v>100</v>
      </c>
      <c r="BG14" s="2" t="s">
        <v>67</v>
      </c>
      <c r="BH14" s="2" t="s">
        <v>67</v>
      </c>
      <c r="BI14" s="2" t="s">
        <v>67</v>
      </c>
      <c r="BJ14" s="2" t="s">
        <v>67</v>
      </c>
      <c r="BK14" s="2" t="s">
        <v>93</v>
      </c>
    </row>
    <row r="15" s="2" customFormat="1" spans="1:63">
      <c r="A15" s="2" t="s">
        <v>101</v>
      </c>
      <c r="B15" s="2" t="s">
        <v>60</v>
      </c>
      <c r="C15" s="2" t="s">
        <v>61</v>
      </c>
      <c r="D15" s="2" t="s">
        <v>62</v>
      </c>
      <c r="E15" s="2" t="s">
        <v>94</v>
      </c>
      <c r="F15" s="2" t="s">
        <v>63</v>
      </c>
      <c r="G15" s="2" t="s">
        <v>64</v>
      </c>
      <c r="H15" s="2" t="s">
        <v>65</v>
      </c>
      <c r="I15" s="2" t="s">
        <v>65</v>
      </c>
      <c r="J15" s="2" t="s">
        <v>66</v>
      </c>
      <c r="K15" s="2" t="s">
        <v>67</v>
      </c>
      <c r="L15" s="2" t="s">
        <v>68</v>
      </c>
      <c r="M15" s="2" t="s">
        <v>69</v>
      </c>
      <c r="N15" s="2" t="s">
        <v>70</v>
      </c>
      <c r="O15" s="2" t="s">
        <v>71</v>
      </c>
      <c r="P15" s="2" t="s">
        <v>67</v>
      </c>
      <c r="Q15" s="2" t="s">
        <v>67</v>
      </c>
      <c r="R15" s="2" t="s">
        <v>67</v>
      </c>
      <c r="S15" s="2" t="s">
        <v>67</v>
      </c>
      <c r="T15" s="2" t="s">
        <v>67</v>
      </c>
      <c r="U15" s="2" t="s">
        <v>67</v>
      </c>
      <c r="V15" s="2" t="s">
        <v>72</v>
      </c>
      <c r="W15" s="2" t="s">
        <v>95</v>
      </c>
      <c r="X15" s="2" t="s">
        <v>67</v>
      </c>
      <c r="Y15" s="2" t="s">
        <v>96</v>
      </c>
      <c r="Z15" s="2" t="s">
        <v>97</v>
      </c>
      <c r="AA15" s="2" t="s">
        <v>98</v>
      </c>
      <c r="AB15" s="2" t="s">
        <v>73</v>
      </c>
      <c r="AC15" s="2" t="s">
        <v>74</v>
      </c>
      <c r="AD15" s="2" t="s">
        <v>75</v>
      </c>
      <c r="AE15" s="2" t="s">
        <v>76</v>
      </c>
      <c r="AF15" s="2" t="s">
        <v>77</v>
      </c>
      <c r="AG15" s="2" t="str">
        <f t="shared" si="0"/>
        <v>YES</v>
      </c>
      <c r="AH15" s="2">
        <f t="shared" si="1"/>
        <v>1</v>
      </c>
      <c r="AI15" s="2" t="s">
        <v>78</v>
      </c>
      <c r="AJ15" s="2" t="str">
        <f t="shared" si="2"/>
        <v>NO</v>
      </c>
      <c r="AK15" s="2" t="s">
        <v>67</v>
      </c>
      <c r="AL15" s="2" t="s">
        <v>67</v>
      </c>
      <c r="AM15" s="2" t="str">
        <f t="shared" si="3"/>
        <v>NO</v>
      </c>
      <c r="AN15" s="2" t="s">
        <v>79</v>
      </c>
      <c r="AO15" s="2" t="s">
        <v>67</v>
      </c>
      <c r="AP15" s="2" t="s">
        <v>67</v>
      </c>
      <c r="AQ15" s="2" t="s">
        <v>67</v>
      </c>
      <c r="AR15" s="2" t="s">
        <v>67</v>
      </c>
      <c r="AS15" s="2" t="s">
        <v>44</v>
      </c>
      <c r="AT15" s="2" t="s">
        <v>67</v>
      </c>
      <c r="AU15" s="2" t="s">
        <v>67</v>
      </c>
      <c r="AV15" s="2" t="s">
        <v>67</v>
      </c>
      <c r="AW15" s="2" t="s">
        <v>67</v>
      </c>
      <c r="AX15" s="2" t="s">
        <v>80</v>
      </c>
      <c r="AY15" s="2" t="s">
        <v>77</v>
      </c>
      <c r="AZ15" s="2" t="s">
        <v>84</v>
      </c>
      <c r="BA15" s="2" t="s">
        <v>67</v>
      </c>
      <c r="BB15" s="2" t="s">
        <v>99</v>
      </c>
      <c r="BC15" s="2" t="s">
        <v>82</v>
      </c>
      <c r="BD15" s="2" t="s">
        <v>83</v>
      </c>
      <c r="BE15" s="2" t="s">
        <v>67</v>
      </c>
      <c r="BF15" s="2" t="s">
        <v>100</v>
      </c>
      <c r="BG15" s="2" t="s">
        <v>67</v>
      </c>
      <c r="BH15" s="2" t="s">
        <v>67</v>
      </c>
      <c r="BI15" s="2" t="s">
        <v>67</v>
      </c>
      <c r="BJ15" s="2" t="s">
        <v>67</v>
      </c>
      <c r="BK15" s="2" t="s">
        <v>67</v>
      </c>
    </row>
  </sheetData>
  <autoFilter ref="A1:BK2">
    <extLst/>
  </autoFilter>
  <conditionalFormatting sqref="AM2">
    <cfRule type="expression" dxfId="0" priority="3">
      <formula>estvrai(AND(D2="4-ARRIVED AT PORT",T2&lt;&gt;"",AJ2="NO"))</formula>
    </cfRule>
    <cfRule type="colorScale" priority="4">
      <colorScale>
        <cfvo type="min"/>
        <cfvo type="max"/>
        <color rgb="FFFF7128"/>
        <color rgb="FFFFEF9C"/>
      </colorScale>
    </cfRule>
  </conditionalFormatting>
  <conditionalFormatting sqref="AM3">
    <cfRule type="colorScale" priority="2">
      <colorScale>
        <cfvo type="min"/>
        <cfvo type="max"/>
        <color rgb="FFFF7128"/>
        <color rgb="FFFFEF9C"/>
      </colorScale>
    </cfRule>
    <cfRule type="expression" dxfId="0" priority="1">
      <formula>estvrai(AND(D3="4-ARRIVED AT PORT",T3&lt;&gt;"",AJ3="NO"))</formula>
    </cfRule>
  </conditionalFormatting>
  <dataValidations count="2">
    <dataValidation type="list" allowBlank="1" showInputMessage="1" showErrorMessage="1" sqref="AM3 AN3 AT3 AU3 AX3 AY3">
      <formula1>'[1]Data list'!#REF!</formula1>
    </dataValidation>
    <dataValidation type="list" allowBlank="1" showInputMessage="1" showErrorMessage="1" sqref="AN2 AT2 AU2 AX2 AY2 AM8 AM12 AL6:AL7 AM1:AM2 AM4:AM5 AM16:AM1048576">
      <formula1>'[1]Data list'!#REF!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sauvage</dc:creator>
  <cp:lastModifiedBy>Yan的么擦黑烫唔子</cp:lastModifiedBy>
  <dcterms:created xsi:type="dcterms:W3CDTF">2019-03-12T10:49:00Z</dcterms:created>
  <dcterms:modified xsi:type="dcterms:W3CDTF">2019-04-21T02:55:31Z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